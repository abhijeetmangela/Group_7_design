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ITM\SEMESTER 2\DESIGN\"/>
    </mc:Choice>
  </mc:AlternateContent>
  <xr:revisionPtr revIDLastSave="0" documentId="13_ncr:1_{77933B01-BC24-46FA-907C-B6C8B704B991}" xr6:coauthVersionLast="47" xr6:coauthVersionMax="47" xr10:uidLastSave="{00000000-0000-0000-0000-000000000000}"/>
  <bookViews>
    <workbookView xWindow="-108" yWindow="-108" windowWidth="23256" windowHeight="12576" xr2:uid="{BAA7FEAA-6299-4FF3-90B0-A10AA972CD86}"/>
  </bookViews>
  <sheets>
    <sheet name="Sheet1" sheetId="1" r:id="rId1"/>
  </sheets>
  <definedNames>
    <definedName name="_xlchart.v1.0" hidden="1">Sheet1!$B$4:$B$9</definedName>
    <definedName name="_xlchart.v1.1" hidden="1">Sheet1!$C$4:$C$9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" l="1"/>
  <c r="F6" i="1"/>
  <c r="F7" i="1"/>
  <c r="F8" i="1"/>
  <c r="F9" i="1"/>
  <c r="F4" i="1"/>
</calcChain>
</file>

<file path=xl/sharedStrings.xml><?xml version="1.0" encoding="utf-8"?>
<sst xmlns="http://schemas.openxmlformats.org/spreadsheetml/2006/main" count="14" uniqueCount="12">
  <si>
    <t>MTOW</t>
  </si>
  <si>
    <t xml:space="preserve">AR         </t>
  </si>
  <si>
    <t>WING LOADING(MTOW/Sref)</t>
  </si>
  <si>
    <t xml:space="preserve">Sref       </t>
  </si>
  <si>
    <t xml:space="preserve">UAV          </t>
  </si>
  <si>
    <t>Wingtraone</t>
  </si>
  <si>
    <t>Albatross</t>
  </si>
  <si>
    <t>Azimut 2</t>
  </si>
  <si>
    <t>Birdeye 600</t>
  </si>
  <si>
    <t>Our MTOW CALCULATED =</t>
  </si>
  <si>
    <t>6.6102KG</t>
  </si>
  <si>
    <t>AR Wet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</si>
</sst>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2" borderId="1" xfId="0" applyFill="1" applyBorder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48381452318461"/>
          <c:y val="0.17171296296296296"/>
          <c:w val="0.83129396325459315"/>
          <c:h val="0.61713764946048411"/>
        </c:manualLayout>
      </c:layout>
      <c:scatterChart>
        <c:scatterStyle val="lineMarker"/>
        <c:varyColors val="0"/>
        <c:ser>
          <c:idx val="0"/>
          <c:order val="0"/>
          <c:tx>
            <c:v>AR VS MTOW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Sheet1!$C$4:$C$9</c:f>
              <c:numCache>
                <c:formatCode>General</c:formatCode>
                <c:ptCount val="6"/>
                <c:pt idx="0">
                  <c:v>4.5</c:v>
                </c:pt>
                <c:pt idx="1">
                  <c:v>10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9.5</c:v>
                </c:pt>
              </c:numCache>
            </c:numRef>
          </c:xVal>
          <c:yVal>
            <c:numRef>
              <c:f>Sheet1!$B$4:$B$9</c:f>
              <c:numCache>
                <c:formatCode>General</c:formatCode>
                <c:ptCount val="6"/>
                <c:pt idx="0">
                  <c:v>3.085</c:v>
                </c:pt>
                <c:pt idx="1">
                  <c:v>11.688000000000001</c:v>
                </c:pt>
                <c:pt idx="2">
                  <c:v>5.7759999999999998</c:v>
                </c:pt>
                <c:pt idx="3">
                  <c:v>8.9480000000000004</c:v>
                </c:pt>
                <c:pt idx="4">
                  <c:v>9.9689999999999994</c:v>
                </c:pt>
                <c:pt idx="5">
                  <c:v>5.9480000000000004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D2-4815-9C14-CBA699D61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614960"/>
        <c:axId val="618799104"/>
      </c:scatterChart>
      <c:valAx>
        <c:axId val="62861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MTOW</a:t>
                </a:r>
              </a:p>
              <a:p>
                <a:pPr>
                  <a:defRPr/>
                </a:pP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799104"/>
        <c:crosses val="autoZero"/>
        <c:crossBetween val="midCat"/>
        <c:majorUnit val="1"/>
      </c:valAx>
      <c:valAx>
        <c:axId val="6187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614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AR Wet VS MTOW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Sheet1!$C$4:$C$9</c:f>
              <c:numCache>
                <c:formatCode>General</c:formatCode>
                <c:ptCount val="6"/>
                <c:pt idx="0">
                  <c:v>4.5</c:v>
                </c:pt>
                <c:pt idx="1">
                  <c:v>10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9.5</c:v>
                </c:pt>
              </c:numCache>
            </c:numRef>
          </c:xVal>
          <c:yVal>
            <c:numRef>
              <c:f>Sheet1!$D$4:$D$9</c:f>
              <c:numCache>
                <c:formatCode>General</c:formatCode>
                <c:ptCount val="6"/>
                <c:pt idx="0">
                  <c:v>1.8740000000000001</c:v>
                </c:pt>
                <c:pt idx="1">
                  <c:v>5.9390000000000001</c:v>
                </c:pt>
                <c:pt idx="2">
                  <c:v>2.992</c:v>
                </c:pt>
                <c:pt idx="3">
                  <c:v>4.4740000000000002</c:v>
                </c:pt>
                <c:pt idx="4">
                  <c:v>5.1449999999999996</c:v>
                </c:pt>
                <c:pt idx="5">
                  <c:v>3.1179999999999999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20-4AAE-8F94-2443396EC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003728"/>
        <c:axId val="557004560"/>
      </c:scatterChart>
      <c:valAx>
        <c:axId val="557003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MTOW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004560"/>
        <c:crosses val="autoZero"/>
        <c:crossBetween val="midCat"/>
        <c:majorUnit val="1"/>
      </c:valAx>
      <c:valAx>
        <c:axId val="55700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AR</a:t>
                </a:r>
                <a:r>
                  <a:rPr lang="en-IN" baseline="0"/>
                  <a:t> Wet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003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WING LOADING VS MTOW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Sheet1!$C$4:$C$9</c:f>
              <c:numCache>
                <c:formatCode>General</c:formatCode>
                <c:ptCount val="6"/>
                <c:pt idx="0">
                  <c:v>4.5</c:v>
                </c:pt>
                <c:pt idx="1">
                  <c:v>10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9.5</c:v>
                </c:pt>
              </c:numCache>
            </c:numRef>
          </c:xVal>
          <c:yVal>
            <c:numRef>
              <c:f>Sheet1!$F$4:$F$9</c:f>
              <c:numCache>
                <c:formatCode>General</c:formatCode>
                <c:ptCount val="6"/>
                <c:pt idx="0">
                  <c:v>3.6962524654832349</c:v>
                </c:pt>
                <c:pt idx="1">
                  <c:v>7.7129870129870133</c:v>
                </c:pt>
                <c:pt idx="2">
                  <c:v>2.765249537892791</c:v>
                </c:pt>
                <c:pt idx="3">
                  <c:v>6.2837078651685401</c:v>
                </c:pt>
                <c:pt idx="4">
                  <c:v>22.765486725663713</c:v>
                </c:pt>
                <c:pt idx="5">
                  <c:v>6.4156378600823043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38-4D5D-A32F-C1B640BF4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138400"/>
        <c:axId val="644139232"/>
      </c:scatterChart>
      <c:valAx>
        <c:axId val="64413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MTOW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139232"/>
        <c:crosses val="autoZero"/>
        <c:crossBetween val="midCat"/>
      </c:valAx>
      <c:valAx>
        <c:axId val="64413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Wing</a:t>
                </a:r>
                <a:r>
                  <a:rPr lang="en-IN" baseline="0"/>
                  <a:t> Loading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13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AR WET VS MTOW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Sheet1!$C$4:$C$9</c:f>
              <c:numCache>
                <c:formatCode>General</c:formatCode>
                <c:ptCount val="6"/>
                <c:pt idx="0">
                  <c:v>4.5</c:v>
                </c:pt>
                <c:pt idx="1">
                  <c:v>10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9.5</c:v>
                </c:pt>
              </c:numCache>
            </c:numRef>
          </c:xVal>
          <c:yVal>
            <c:numRef>
              <c:f>Sheet1!$F$4:$F$9</c:f>
              <c:numCache>
                <c:formatCode>General</c:formatCode>
                <c:ptCount val="6"/>
                <c:pt idx="0">
                  <c:v>3.6962524654832349</c:v>
                </c:pt>
                <c:pt idx="1">
                  <c:v>7.7129870129870133</c:v>
                </c:pt>
                <c:pt idx="2">
                  <c:v>2.765249537892791</c:v>
                </c:pt>
                <c:pt idx="3">
                  <c:v>6.2837078651685401</c:v>
                </c:pt>
                <c:pt idx="4">
                  <c:v>22.765486725663713</c:v>
                </c:pt>
                <c:pt idx="5">
                  <c:v>6.4156378600823043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66-4D41-8D35-B0FA0C237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7036432"/>
        <c:axId val="647036848"/>
      </c:scatterChart>
      <c:valAx>
        <c:axId val="64703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MTOW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036848"/>
        <c:crosses val="autoZero"/>
        <c:crossBetween val="midCat"/>
      </c:valAx>
      <c:valAx>
        <c:axId val="64703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Win</a:t>
                </a:r>
                <a:r>
                  <a:rPr lang="en-IN" baseline="0"/>
                  <a:t> Loading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03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1</xdr:row>
      <xdr:rowOff>72390</xdr:rowOff>
    </xdr:from>
    <xdr:to>
      <xdr:col>14</xdr:col>
      <xdr:colOff>457200</xdr:colOff>
      <xdr:row>16</xdr:row>
      <xdr:rowOff>72390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27CB44E-9A74-41D9-AB56-0E5C04F8C3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99060</xdr:colOff>
      <xdr:row>1</xdr:row>
      <xdr:rowOff>110490</xdr:rowOff>
    </xdr:from>
    <xdr:to>
      <xdr:col>22</xdr:col>
      <xdr:colOff>403860</xdr:colOff>
      <xdr:row>16</xdr:row>
      <xdr:rowOff>110490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D518044-021D-4FA2-A96A-0DD9CD746E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114300</xdr:colOff>
      <xdr:row>16</xdr:row>
      <xdr:rowOff>156210</xdr:rowOff>
    </xdr:from>
    <xdr:to>
      <xdr:col>14</xdr:col>
      <xdr:colOff>419100</xdr:colOff>
      <xdr:row>31</xdr:row>
      <xdr:rowOff>156210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A503C9D-A338-49D2-B01C-4F0CFEB607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76200</xdr:colOff>
      <xdr:row>17</xdr:row>
      <xdr:rowOff>26670</xdr:rowOff>
    </xdr:from>
    <xdr:to>
      <xdr:col>22</xdr:col>
      <xdr:colOff>381000</xdr:colOff>
      <xdr:row>32</xdr:row>
      <xdr:rowOff>26670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1D5EA92-B919-46F5-AFF5-820E654EFF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0B514-9ED2-407A-9FF5-90F7A6C2D757}">
  <sheetPr codeName="Sheet1"/>
  <dimension ref="A3:F11"/>
  <sheetViews>
    <sheetView tabSelected="1" workbookViewId="0">
      <selection activeCell="U2" sqref="U2"/>
    </sheetView>
  </sheetViews>
  <sheetFormatPr defaultRowHeight="14.4" x14ac:dyDescent="0.3"/>
  <cols>
    <col min="1" max="1" width="23.21875" bestFit="1" customWidth="1"/>
    <col min="2" max="2" width="8.77734375" bestFit="1" customWidth="1"/>
    <col min="3" max="3" width="6.77734375" bestFit="1" customWidth="1"/>
    <col min="4" max="4" width="7.109375" bestFit="1" customWidth="1"/>
    <col min="5" max="5" width="7.33203125" bestFit="1" customWidth="1"/>
    <col min="6" max="6" width="25.21875" bestFit="1" customWidth="1"/>
  </cols>
  <sheetData>
    <row r="3" spans="1:6" x14ac:dyDescent="0.3">
      <c r="A3" t="s">
        <v>4</v>
      </c>
      <c r="B3" s="4" t="s">
        <v>1</v>
      </c>
      <c r="C3" t="s">
        <v>0</v>
      </c>
      <c r="D3" t="s">
        <v>11</v>
      </c>
      <c r="E3" t="s">
        <v>3</v>
      </c>
      <c r="F3" t="s">
        <v>2</v>
      </c>
    </row>
    <row r="4" spans="1:6" x14ac:dyDescent="0.3">
      <c r="A4" s="1" t="s">
        <v>5</v>
      </c>
      <c r="B4" s="3">
        <v>3.085</v>
      </c>
      <c r="C4">
        <v>4.5</v>
      </c>
      <c r="D4" s="1">
        <v>1.8740000000000001</v>
      </c>
      <c r="E4" s="2">
        <v>0.50700000000000001</v>
      </c>
      <c r="F4">
        <f>D4/E4</f>
        <v>3.6962524654832349</v>
      </c>
    </row>
    <row r="5" spans="1:6" x14ac:dyDescent="0.3">
      <c r="A5" s="1" t="s">
        <v>6</v>
      </c>
      <c r="B5" s="3">
        <v>11.688000000000001</v>
      </c>
      <c r="C5">
        <v>10</v>
      </c>
      <c r="D5" s="1">
        <v>5.9390000000000001</v>
      </c>
      <c r="E5" s="2">
        <v>0.77</v>
      </c>
      <c r="F5">
        <f t="shared" ref="F5:F9" si="0">D5/E5</f>
        <v>7.7129870129870133</v>
      </c>
    </row>
    <row r="6" spans="1:6" x14ac:dyDescent="0.3">
      <c r="A6" s="1" t="s">
        <v>7</v>
      </c>
      <c r="B6" s="3">
        <v>5.7759999999999998</v>
      </c>
      <c r="C6">
        <v>9</v>
      </c>
      <c r="D6" s="1">
        <v>2.992</v>
      </c>
      <c r="E6" s="2">
        <v>1.0820000000000001</v>
      </c>
      <c r="F6">
        <f t="shared" si="0"/>
        <v>2.765249537892791</v>
      </c>
    </row>
    <row r="7" spans="1:6" x14ac:dyDescent="0.3">
      <c r="A7" s="1" t="s">
        <v>8</v>
      </c>
      <c r="B7" s="3">
        <v>8.9480000000000004</v>
      </c>
      <c r="C7">
        <v>8.5</v>
      </c>
      <c r="D7" s="1">
        <v>4.4740000000000002</v>
      </c>
      <c r="E7" s="2">
        <v>0.71199999999999997</v>
      </c>
      <c r="F7">
        <f t="shared" si="0"/>
        <v>6.2837078651685401</v>
      </c>
    </row>
    <row r="8" spans="1:6" x14ac:dyDescent="0.3">
      <c r="A8" s="1" t="s">
        <v>5</v>
      </c>
      <c r="B8" s="3">
        <v>9.9689999999999994</v>
      </c>
      <c r="C8">
        <v>8</v>
      </c>
      <c r="D8" s="1">
        <v>5.1449999999999996</v>
      </c>
      <c r="E8" s="2">
        <v>0.22600000000000001</v>
      </c>
      <c r="F8">
        <f t="shared" si="0"/>
        <v>22.765486725663713</v>
      </c>
    </row>
    <row r="9" spans="1:6" x14ac:dyDescent="0.3">
      <c r="A9" s="1" t="s">
        <v>6</v>
      </c>
      <c r="B9" s="3">
        <v>5.9480000000000004</v>
      </c>
      <c r="C9">
        <v>9.5</v>
      </c>
      <c r="D9" s="1">
        <v>3.1179999999999999</v>
      </c>
      <c r="E9" s="2">
        <v>0.48599999999999999</v>
      </c>
      <c r="F9">
        <f t="shared" si="0"/>
        <v>6.4156378600823043</v>
      </c>
    </row>
    <row r="11" spans="1:6" x14ac:dyDescent="0.3">
      <c r="A11" t="s">
        <v>9</v>
      </c>
      <c r="B11" t="s">
        <v>10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rachel thomas</dc:creator>
  <cp:lastModifiedBy>rachel thomas</cp:lastModifiedBy>
  <dcterms:created xsi:type="dcterms:W3CDTF">2024-02-27T14:58:26Z</dcterms:created>
  <dcterms:modified xsi:type="dcterms:W3CDTF">2024-02-27T20:13:22Z</dcterms:modified>
</cp:coreProperties>
</file>